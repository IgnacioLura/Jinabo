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BF76E74-8E2D-41AC-A1BB-20D908005D3A}" xr6:coauthVersionLast="47" xr6:coauthVersionMax="47" xr10:uidLastSave="{00000000-0000-0000-0000-000000000000}"/>
  <bookViews>
    <workbookView xWindow="-120" yWindow="-120" windowWidth="20730" windowHeight="11160" xr2:uid="{AC108AA3-2D05-428D-A3C6-07EA724D3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" i="1" l="1"/>
  <c r="F145" i="1"/>
  <c r="G145" i="1"/>
  <c r="F144" i="1"/>
  <c r="G144" i="1"/>
  <c r="F143" i="1"/>
  <c r="G143" i="1"/>
  <c r="F142" i="1"/>
  <c r="G142" i="1"/>
  <c r="F141" i="1"/>
  <c r="G141" i="1"/>
  <c r="F140" i="1"/>
  <c r="G140" i="1"/>
  <c r="F139" i="1"/>
  <c r="G139" i="1"/>
  <c r="E133" i="1"/>
  <c r="E132" i="1"/>
  <c r="F132" i="1" s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G131" i="1"/>
  <c r="F131" i="1"/>
  <c r="G130" i="1"/>
  <c r="F130" i="1"/>
  <c r="G129" i="1"/>
  <c r="F129" i="1"/>
  <c r="E129" i="1"/>
  <c r="F128" i="1"/>
  <c r="G128" i="1"/>
  <c r="F127" i="1"/>
  <c r="G127" i="1"/>
  <c r="F126" i="1"/>
  <c r="G126" i="1"/>
  <c r="F125" i="1"/>
  <c r="G125" i="1"/>
  <c r="F124" i="1"/>
  <c r="G124" i="1"/>
  <c r="F123" i="1"/>
  <c r="G123" i="1"/>
  <c r="F122" i="1"/>
  <c r="G122" i="1"/>
  <c r="E120" i="1"/>
  <c r="F120" i="1" s="1"/>
  <c r="E119" i="1"/>
  <c r="G119" i="1" s="1"/>
  <c r="G118" i="1"/>
  <c r="G121" i="1"/>
  <c r="F121" i="1"/>
  <c r="G120" i="1"/>
  <c r="F119" i="1"/>
  <c r="F118" i="1"/>
  <c r="G117" i="1"/>
  <c r="F117" i="1"/>
  <c r="G116" i="1"/>
  <c r="F116" i="1"/>
  <c r="G115" i="1"/>
  <c r="F115" i="1"/>
  <c r="C114" i="1"/>
  <c r="F112" i="1"/>
  <c r="G112" i="1"/>
  <c r="F111" i="1"/>
  <c r="G111" i="1"/>
  <c r="F110" i="1"/>
  <c r="G110" i="1"/>
  <c r="F109" i="1"/>
  <c r="G109" i="1"/>
  <c r="F108" i="1"/>
  <c r="G108" i="1"/>
  <c r="F107" i="1"/>
  <c r="G107" i="1"/>
  <c r="F106" i="1"/>
  <c r="G106" i="1"/>
  <c r="F105" i="1"/>
  <c r="G105" i="1"/>
  <c r="F104" i="1"/>
  <c r="G104" i="1"/>
  <c r="F103" i="1"/>
  <c r="G103" i="1"/>
  <c r="F102" i="1"/>
  <c r="G102" i="1"/>
  <c r="F101" i="1"/>
  <c r="G101" i="1"/>
  <c r="F100" i="1"/>
  <c r="G100" i="1"/>
  <c r="F99" i="1"/>
  <c r="G99" i="1"/>
  <c r="F98" i="1"/>
  <c r="G98" i="1"/>
  <c r="F97" i="1"/>
  <c r="G97" i="1"/>
  <c r="F96" i="1"/>
  <c r="G96" i="1"/>
  <c r="F95" i="1"/>
  <c r="G95" i="1"/>
  <c r="F94" i="1"/>
  <c r="G94" i="1"/>
  <c r="F93" i="1"/>
  <c r="G93" i="1"/>
  <c r="F92" i="1"/>
  <c r="G92" i="1"/>
  <c r="F91" i="1"/>
  <c r="G91" i="1"/>
  <c r="F90" i="1"/>
  <c r="G90" i="1"/>
  <c r="F89" i="1"/>
  <c r="G89" i="1"/>
  <c r="F88" i="1"/>
  <c r="G88" i="1"/>
  <c r="F87" i="1"/>
  <c r="G87" i="1"/>
  <c r="F86" i="1"/>
  <c r="G86" i="1"/>
  <c r="F85" i="1"/>
  <c r="G85" i="1"/>
  <c r="F84" i="1"/>
  <c r="G84" i="1"/>
  <c r="F83" i="1"/>
  <c r="G83" i="1"/>
  <c r="F82" i="1"/>
  <c r="G82" i="1"/>
  <c r="F81" i="1"/>
  <c r="G81" i="1"/>
  <c r="F80" i="1"/>
  <c r="G80" i="1"/>
  <c r="F79" i="1"/>
  <c r="G79" i="1"/>
  <c r="F78" i="1"/>
  <c r="G78" i="1"/>
  <c r="F77" i="1"/>
  <c r="G77" i="1"/>
  <c r="F76" i="1"/>
  <c r="G76" i="1"/>
  <c r="F75" i="1"/>
  <c r="G75" i="1"/>
  <c r="F74" i="1"/>
  <c r="G74" i="1"/>
  <c r="F73" i="1"/>
  <c r="G73" i="1"/>
  <c r="F72" i="1"/>
  <c r="G72" i="1"/>
  <c r="F71" i="1"/>
  <c r="G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F25" i="1"/>
  <c r="G25" i="1"/>
  <c r="F24" i="1"/>
  <c r="G24" i="1"/>
  <c r="F23" i="1"/>
  <c r="G23" i="1"/>
  <c r="F22" i="1"/>
  <c r="G22" i="1"/>
  <c r="F21" i="1"/>
  <c r="G21" i="1"/>
  <c r="F20" i="1"/>
  <c r="G20" i="1"/>
  <c r="F19" i="1"/>
  <c r="G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4" authorId="0" shapeId="0" xr:uid="{B30C1837-79F7-431C-8D52-4D6EAD56D307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20 % s costo</t>
        </r>
      </text>
    </comment>
    <comment ref="G4" authorId="0" shapeId="0" xr:uid="{EE628ACF-1F95-4946-B7E1-6A6E64ABFA7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100 sobre costo</t>
        </r>
      </text>
    </comment>
    <comment ref="C119" authorId="0" shapeId="0" xr:uid="{16BB697D-886B-4368-B2E6-4E1F726ED5F1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13 dol</t>
        </r>
      </text>
    </comment>
    <comment ref="C120" authorId="0" shapeId="0" xr:uid="{60101CA5-ACD6-4A73-B550-9B42D37C052B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120 dol
</t>
        </r>
      </text>
    </comment>
    <comment ref="C129" authorId="0" shapeId="0" xr:uid="{7F52089C-14EE-44CE-962C-53A009D63EE7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18  dol</t>
        </r>
      </text>
    </comment>
    <comment ref="C132" authorId="0" shapeId="0" xr:uid="{36EC3895-A18A-42F0-9FE7-442946C172CA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9 dol</t>
        </r>
      </text>
    </comment>
    <comment ref="C133" authorId="0" shapeId="0" xr:uid="{62F5E9F6-913A-46C7-8191-B63B0E1E053A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9  dol</t>
        </r>
      </text>
    </comment>
    <comment ref="C146" authorId="0" shapeId="0" xr:uid="{9B79DD5E-B0FD-4019-ABEC-F676AD380AE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200 dol
</t>
        </r>
      </text>
    </comment>
  </commentList>
</comments>
</file>

<file path=xl/sharedStrings.xml><?xml version="1.0" encoding="utf-8"?>
<sst xmlns="http://schemas.openxmlformats.org/spreadsheetml/2006/main" count="148" uniqueCount="147">
  <si>
    <t>Articulo</t>
  </si>
  <si>
    <t>Cantidad</t>
  </si>
  <si>
    <t>Costo</t>
  </si>
  <si>
    <t>Mercado Libre</t>
  </si>
  <si>
    <t>P de Venta Mayor</t>
  </si>
  <si>
    <t xml:space="preserve"> P de Venta menor</t>
  </si>
  <si>
    <t>Maquina Café Italiana</t>
  </si>
  <si>
    <t>Cafetera Francesa</t>
  </si>
  <si>
    <t>Jarra Electrica</t>
  </si>
  <si>
    <t>Tostadora</t>
  </si>
  <si>
    <t>Mixer Raf</t>
  </si>
  <si>
    <t>Sadwichera x 2</t>
  </si>
  <si>
    <t>Mini Licuadora</t>
  </si>
  <si>
    <t>Molinillo Café</t>
  </si>
  <si>
    <t>Especiero metal</t>
  </si>
  <si>
    <t>Filtro de agua</t>
  </si>
  <si>
    <t>Bacha Cocina</t>
  </si>
  <si>
    <t>Escurridor Negro</t>
  </si>
  <si>
    <t>Escurridor Alum y Plastico</t>
  </si>
  <si>
    <t>Escurridor Extensible</t>
  </si>
  <si>
    <t>Pinza de Cocina</t>
  </si>
  <si>
    <t>Rallador  Queso Metal</t>
  </si>
  <si>
    <t>Rallador  Queso Plastico</t>
  </si>
  <si>
    <t>Rallador Ac Inox</t>
  </si>
  <si>
    <t>Set Cocina</t>
  </si>
  <si>
    <t>Juego Cuchillo con soporte</t>
  </si>
  <si>
    <t>Juego Cuchillo 18 piezas</t>
  </si>
  <si>
    <t>Sarten Provolone hierro</t>
  </si>
  <si>
    <t>Jarra Electrica Vintage</t>
  </si>
  <si>
    <t>Bandeja Losa con tabla</t>
  </si>
  <si>
    <t xml:space="preserve">Tetera Hierro </t>
  </si>
  <si>
    <t>Vaso Termico</t>
  </si>
  <si>
    <t>Termo 350 cc</t>
  </si>
  <si>
    <t>Termo 1200 cc</t>
  </si>
  <si>
    <t>Vaso Cerveza c parlante</t>
  </si>
  <si>
    <t xml:space="preserve">Taper Largo </t>
  </si>
  <si>
    <t>Taper Mediano</t>
  </si>
  <si>
    <t>Taper corto</t>
  </si>
  <si>
    <t xml:space="preserve">Taper de Vidrio </t>
  </si>
  <si>
    <t>Bols Melamina Bambu</t>
  </si>
  <si>
    <t>Set Taper x 7</t>
  </si>
  <si>
    <t>Tabla Quesos</t>
  </si>
  <si>
    <t>Tabla Pizzas con cortador</t>
  </si>
  <si>
    <t>Individuales Yute</t>
  </si>
  <si>
    <t>Selladores de Bolsa</t>
  </si>
  <si>
    <t>Waflera</t>
  </si>
  <si>
    <t>Rack Multifuncional</t>
  </si>
  <si>
    <t>Rack Ropa Bambu</t>
  </si>
  <si>
    <t>Rack Plastico Blanco</t>
  </si>
  <si>
    <t>Perchero</t>
  </si>
  <si>
    <t>Canasta de Picnic 2 Tapas</t>
  </si>
  <si>
    <t>Bolsas de Yute x 3</t>
  </si>
  <si>
    <t>Organizador Valijas</t>
  </si>
  <si>
    <t>Mopa</t>
  </si>
  <si>
    <t>Aspiradora Chica</t>
  </si>
  <si>
    <t>Rack Lavarropa</t>
  </si>
  <si>
    <t>Aspiradora Gde</t>
  </si>
  <si>
    <t>Jabonera Silicona</t>
  </si>
  <si>
    <t>Tender Horizontl</t>
  </si>
  <si>
    <t>Tag</t>
  </si>
  <si>
    <t>Camara 360 GD</t>
  </si>
  <si>
    <t>Camara con Rosca</t>
  </si>
  <si>
    <t>Camara wi fi</t>
  </si>
  <si>
    <t xml:space="preserve">Video baby </t>
  </si>
  <si>
    <t>Camaora foto niño</t>
  </si>
  <si>
    <t>Timbre inalambrico</t>
  </si>
  <si>
    <t xml:space="preserve">Adaptadores </t>
  </si>
  <si>
    <t>Adaptadores con USB</t>
  </si>
  <si>
    <t>Porta celulares de Mesa</t>
  </si>
  <si>
    <t>Espejo Parasol</t>
  </si>
  <si>
    <t>Veladoras Led</t>
  </si>
  <si>
    <t>Vela a Pila Mediana</t>
  </si>
  <si>
    <t>Vela a Pila gde</t>
  </si>
  <si>
    <t>Caja Vela x 50</t>
  </si>
  <si>
    <t>Luces 15 mts</t>
  </si>
  <si>
    <t>Luces  7,5 mts</t>
  </si>
  <si>
    <t>Difusores</t>
  </si>
  <si>
    <t>Candado Valija</t>
  </si>
  <si>
    <t>Cinta Valija</t>
  </si>
  <si>
    <t>Balanza Valija</t>
  </si>
  <si>
    <t>Porta pasapote</t>
  </si>
  <si>
    <t>Plancha de Viaje</t>
  </si>
  <si>
    <t>Set Frascos de Viaje</t>
  </si>
  <si>
    <t>valizas Multifuncion</t>
  </si>
  <si>
    <t>Bolsa de Tela</t>
  </si>
  <si>
    <t>Farol de Camping</t>
  </si>
  <si>
    <t>Linterna para Cabeza</t>
  </si>
  <si>
    <t>Linternas Chicas</t>
  </si>
  <si>
    <t>Linternas Treck</t>
  </si>
  <si>
    <t>Foco Pistola</t>
  </si>
  <si>
    <t>Pocho Lluvia</t>
  </si>
  <si>
    <t>Paraguas Corto</t>
  </si>
  <si>
    <t>Sillon Inflable</t>
  </si>
  <si>
    <t>Colchon Inflable 1Pza</t>
  </si>
  <si>
    <t>Colchon Inflable 2 Pza</t>
  </si>
  <si>
    <t>Banco Plegable</t>
  </si>
  <si>
    <t>Mesa Plegable</t>
  </si>
  <si>
    <t>Sombrilla</t>
  </si>
  <si>
    <t>Carro Feria 3 R</t>
  </si>
  <si>
    <t>Capa Peluquero</t>
  </si>
  <si>
    <t>Maquina Rizos</t>
  </si>
  <si>
    <t>Sobre Peluquero</t>
  </si>
  <si>
    <t>Sobre Gel Insulina</t>
  </si>
  <si>
    <t>Mochila Bebe Antigolpe</t>
  </si>
  <si>
    <t>Dispensador Automatico</t>
  </si>
  <si>
    <t>Kit Vino</t>
  </si>
  <si>
    <t>Set Barbacoa x 4</t>
  </si>
  <si>
    <t>Tarjeteros anticlonacion</t>
  </si>
  <si>
    <t>Pantalla Bambu</t>
  </si>
  <si>
    <t>Juego Boxeo</t>
  </si>
  <si>
    <t>Piso Goma</t>
  </si>
  <si>
    <t>Luz Bicicleta</t>
  </si>
  <si>
    <t xml:space="preserve">Loncheras </t>
  </si>
  <si>
    <t>Kemei 1820</t>
  </si>
  <si>
    <t>Kemei 3382</t>
  </si>
  <si>
    <t>Kemei</t>
  </si>
  <si>
    <t>Timbre Inalambrico</t>
  </si>
  <si>
    <t>Armario Tela</t>
  </si>
  <si>
    <t>Escalera Aluminio</t>
  </si>
  <si>
    <t xml:space="preserve">Cubiertera </t>
  </si>
  <si>
    <t>Vitrola</t>
  </si>
  <si>
    <t>Puff</t>
  </si>
  <si>
    <t>Percha Afelpadas x 10</t>
  </si>
  <si>
    <t>Alfombra 160</t>
  </si>
  <si>
    <t>Rollo Yoga</t>
  </si>
  <si>
    <t>Pelota ¨Pilates</t>
  </si>
  <si>
    <t xml:space="preserve">Neceser </t>
  </si>
  <si>
    <t>Funnda para Auto</t>
  </si>
  <si>
    <t>Air Fryer RAF 5236</t>
  </si>
  <si>
    <t>Seste Plegable</t>
  </si>
  <si>
    <t>Farol Madera x 2</t>
  </si>
  <si>
    <t>Farol Madera Metal x 2</t>
  </si>
  <si>
    <t>Paraguas Atos</t>
  </si>
  <si>
    <t>Paraguas 24 varillas</t>
  </si>
  <si>
    <t>Paraguas Trasparente</t>
  </si>
  <si>
    <t>Canasto Picnic</t>
  </si>
  <si>
    <t>Cubiertos Frasco</t>
  </si>
  <si>
    <t>Fanales Led Negros</t>
  </si>
  <si>
    <t>Reloj Mapamundi</t>
  </si>
  <si>
    <t>Bolsas Mango Alumunio</t>
  </si>
  <si>
    <t>Buda Chico</t>
  </si>
  <si>
    <t xml:space="preserve">Buda Grande </t>
  </si>
  <si>
    <t>Frutera Bambu</t>
  </si>
  <si>
    <t>Huevera</t>
  </si>
  <si>
    <t>Especieros Madera</t>
  </si>
  <si>
    <t>Taper x3</t>
  </si>
  <si>
    <t>Maquina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</si>
</sst>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C5D4-3E0E-4CD1-A284-BF0AB106755A}">
  <dimension ref="C1:H157"/>
  <sheetViews>
    <sheetView tabSelected="1" workbookViewId="0">
      <pane xSplit="2" ySplit="2" topLeftCell="C131" activePane="bottomRight" state="frozen"/>
      <selection pane="topRight" activeCell="C1" sqref="C1"/>
      <selection pane="bottomLeft" activeCell="A3" sqref="A3"/>
      <selection pane="bottomRight" activeCell="C139" sqref="C139"/>
    </sheetView>
  </sheetViews>
  <sheetFormatPr baseColWidth="10" defaultRowHeight="15" x14ac:dyDescent="0.25"/>
  <cols>
    <col min="3" max="3" width="28.5703125" customWidth="1"/>
    <col min="4" max="9" width="16.7109375" customWidth="1"/>
  </cols>
  <sheetData>
    <row r="1" spans="3:8" ht="15.75" thickBot="1" x14ac:dyDescent="0.3"/>
    <row r="2" spans="3:8" ht="16.5" thickTop="1" thickBot="1" x14ac:dyDescent="0.3">
      <c r="C2" s="1" t="s">
        <v>0</v>
      </c>
      <c r="D2" s="1" t="s">
        <v>1</v>
      </c>
      <c r="E2" s="1" t="s">
        <v>2</v>
      </c>
      <c r="F2" s="1" t="s">
        <v>4</v>
      </c>
      <c r="G2" s="1" t="s">
        <v>5</v>
      </c>
      <c r="H2" s="1" t="s">
        <v>3</v>
      </c>
    </row>
    <row r="3" spans="3:8" ht="15.75" thickTop="1" x14ac:dyDescent="0.25"/>
    <row r="4" spans="3:8" x14ac:dyDescent="0.25">
      <c r="C4" s="2" t="s">
        <v>6</v>
      </c>
      <c r="D4" s="2">
        <v>1</v>
      </c>
      <c r="E4" s="2">
        <v>400</v>
      </c>
      <c r="F4" s="2">
        <f>+E4*1.2</f>
        <v>480</v>
      </c>
      <c r="G4" s="2">
        <f>+E4*2</f>
        <v>800</v>
      </c>
      <c r="H4" s="2"/>
    </row>
    <row r="5" spans="3:8" x14ac:dyDescent="0.25">
      <c r="C5" s="2" t="s">
        <v>7</v>
      </c>
      <c r="D5" s="2"/>
      <c r="E5" s="2">
        <v>450</v>
      </c>
      <c r="F5" s="2">
        <f t="shared" ref="F5:F25" si="0">+E5*1.2</f>
        <v>540</v>
      </c>
      <c r="G5" s="2">
        <f t="shared" ref="G5:G25" si="1">+E5*2</f>
        <v>900</v>
      </c>
      <c r="H5" s="2"/>
    </row>
    <row r="6" spans="3:8" x14ac:dyDescent="0.25">
      <c r="C6" s="2" t="s">
        <v>8</v>
      </c>
      <c r="D6" s="2"/>
      <c r="E6" s="2">
        <v>200</v>
      </c>
      <c r="F6" s="2">
        <f t="shared" si="0"/>
        <v>240</v>
      </c>
      <c r="G6" s="2">
        <f t="shared" si="1"/>
        <v>400</v>
      </c>
      <c r="H6" s="2"/>
    </row>
    <row r="7" spans="3:8" x14ac:dyDescent="0.25">
      <c r="C7" s="2" t="s">
        <v>9</v>
      </c>
      <c r="D7" s="2"/>
      <c r="E7" s="2">
        <v>470</v>
      </c>
      <c r="F7" s="2">
        <f t="shared" si="0"/>
        <v>564</v>
      </c>
      <c r="G7" s="2">
        <f t="shared" si="1"/>
        <v>940</v>
      </c>
      <c r="H7" s="2"/>
    </row>
    <row r="8" spans="3:8" x14ac:dyDescent="0.25">
      <c r="C8" s="2" t="s">
        <v>10</v>
      </c>
      <c r="D8" s="2"/>
      <c r="E8" s="2">
        <v>950</v>
      </c>
      <c r="F8" s="2">
        <f t="shared" si="0"/>
        <v>1140</v>
      </c>
      <c r="G8" s="2">
        <f t="shared" si="1"/>
        <v>1900</v>
      </c>
      <c r="H8" s="2"/>
    </row>
    <row r="9" spans="3:8" x14ac:dyDescent="0.25">
      <c r="C9" s="2" t="s">
        <v>11</v>
      </c>
      <c r="D9" s="2"/>
      <c r="E9" s="2">
        <v>525</v>
      </c>
      <c r="F9" s="2">
        <f t="shared" si="0"/>
        <v>630</v>
      </c>
      <c r="G9" s="2">
        <f t="shared" si="1"/>
        <v>1050</v>
      </c>
      <c r="H9" s="2"/>
    </row>
    <row r="10" spans="3:8" x14ac:dyDescent="0.25">
      <c r="C10" s="2" t="s">
        <v>12</v>
      </c>
      <c r="D10" s="2"/>
      <c r="E10" s="2">
        <v>380</v>
      </c>
      <c r="F10" s="2">
        <f t="shared" si="0"/>
        <v>456</v>
      </c>
      <c r="G10" s="2">
        <f t="shared" si="1"/>
        <v>760</v>
      </c>
      <c r="H10" s="2"/>
    </row>
    <row r="11" spans="3:8" x14ac:dyDescent="0.25">
      <c r="C11" s="2" t="s">
        <v>13</v>
      </c>
      <c r="D11" s="2"/>
      <c r="E11" s="2">
        <v>800</v>
      </c>
      <c r="F11" s="2">
        <f t="shared" si="0"/>
        <v>960</v>
      </c>
      <c r="G11" s="2">
        <f t="shared" si="1"/>
        <v>1600</v>
      </c>
      <c r="H11" s="2"/>
    </row>
    <row r="12" spans="3:8" x14ac:dyDescent="0.25">
      <c r="C12" s="2" t="s">
        <v>14</v>
      </c>
      <c r="D12" s="2"/>
      <c r="E12" s="2">
        <v>520</v>
      </c>
      <c r="F12" s="2">
        <f t="shared" si="0"/>
        <v>624</v>
      </c>
      <c r="G12" s="2">
        <f t="shared" si="1"/>
        <v>1040</v>
      </c>
      <c r="H12" s="2"/>
    </row>
    <row r="13" spans="3:8" x14ac:dyDescent="0.25">
      <c r="C13" s="2" t="s">
        <v>15</v>
      </c>
      <c r="D13" s="2"/>
      <c r="E13" s="2">
        <v>3000</v>
      </c>
      <c r="F13" s="2">
        <f t="shared" si="0"/>
        <v>3600</v>
      </c>
      <c r="G13" s="2">
        <f t="shared" si="1"/>
        <v>6000</v>
      </c>
      <c r="H13" s="2"/>
    </row>
    <row r="14" spans="3:8" x14ac:dyDescent="0.25">
      <c r="C14" s="2" t="s">
        <v>16</v>
      </c>
      <c r="D14" s="2"/>
      <c r="E14" s="2">
        <v>10500</v>
      </c>
      <c r="F14" s="2">
        <f t="shared" si="0"/>
        <v>12600</v>
      </c>
      <c r="G14" s="2">
        <f t="shared" si="1"/>
        <v>21000</v>
      </c>
      <c r="H14" s="2"/>
    </row>
    <row r="15" spans="3:8" x14ac:dyDescent="0.25">
      <c r="C15" s="2" t="s">
        <v>17</v>
      </c>
      <c r="D15" s="2"/>
      <c r="E15" s="2">
        <v>1165</v>
      </c>
      <c r="F15" s="2">
        <f t="shared" si="0"/>
        <v>1398</v>
      </c>
      <c r="G15" s="2">
        <f t="shared" si="1"/>
        <v>2330</v>
      </c>
      <c r="H15" s="2"/>
    </row>
    <row r="16" spans="3:8" x14ac:dyDescent="0.25">
      <c r="C16" s="2" t="s">
        <v>18</v>
      </c>
      <c r="D16" s="2"/>
      <c r="E16" s="2">
        <v>1165</v>
      </c>
      <c r="F16" s="2">
        <f t="shared" si="0"/>
        <v>1398</v>
      </c>
      <c r="G16" s="2">
        <f t="shared" si="1"/>
        <v>2330</v>
      </c>
      <c r="H16" s="2"/>
    </row>
    <row r="17" spans="3:8" x14ac:dyDescent="0.25">
      <c r="C17" s="2" t="s">
        <v>19</v>
      </c>
      <c r="D17" s="2"/>
      <c r="E17" s="2">
        <v>120</v>
      </c>
      <c r="F17" s="2">
        <f t="shared" si="0"/>
        <v>144</v>
      </c>
      <c r="G17" s="2">
        <f t="shared" si="1"/>
        <v>240</v>
      </c>
      <c r="H17" s="2"/>
    </row>
    <row r="18" spans="3:8" x14ac:dyDescent="0.25">
      <c r="C18" s="2" t="s">
        <v>20</v>
      </c>
      <c r="D18" s="2"/>
      <c r="E18" s="2">
        <v>120</v>
      </c>
      <c r="F18" s="2">
        <f t="shared" si="0"/>
        <v>144</v>
      </c>
      <c r="G18" s="2">
        <f t="shared" si="1"/>
        <v>240</v>
      </c>
      <c r="H18" s="2"/>
    </row>
    <row r="19" spans="3:8" x14ac:dyDescent="0.25">
      <c r="C19" s="2" t="s">
        <v>21</v>
      </c>
      <c r="D19" s="2"/>
      <c r="E19" s="2">
        <v>280</v>
      </c>
      <c r="F19" s="2">
        <f t="shared" si="0"/>
        <v>336</v>
      </c>
      <c r="G19" s="2">
        <f t="shared" si="1"/>
        <v>560</v>
      </c>
      <c r="H19" s="2"/>
    </row>
    <row r="20" spans="3:8" x14ac:dyDescent="0.25">
      <c r="C20" s="2" t="s">
        <v>22</v>
      </c>
      <c r="D20" s="2"/>
      <c r="E20" s="2">
        <v>130</v>
      </c>
      <c r="F20" s="2">
        <f t="shared" si="0"/>
        <v>156</v>
      </c>
      <c r="G20" s="2">
        <f t="shared" si="1"/>
        <v>260</v>
      </c>
      <c r="H20" s="2"/>
    </row>
    <row r="21" spans="3:8" x14ac:dyDescent="0.25">
      <c r="C21" s="2" t="s">
        <v>23</v>
      </c>
      <c r="D21" s="2"/>
      <c r="E21" s="2">
        <v>130</v>
      </c>
      <c r="F21" s="2">
        <f t="shared" si="0"/>
        <v>156</v>
      </c>
      <c r="G21" s="2">
        <f t="shared" si="1"/>
        <v>260</v>
      </c>
      <c r="H21" s="2"/>
    </row>
    <row r="22" spans="3:8" x14ac:dyDescent="0.25">
      <c r="C22" s="2" t="s">
        <v>24</v>
      </c>
      <c r="D22" s="2"/>
      <c r="E22" s="2">
        <v>140</v>
      </c>
      <c r="F22" s="2">
        <f t="shared" si="0"/>
        <v>168</v>
      </c>
      <c r="G22" s="2">
        <f t="shared" si="1"/>
        <v>280</v>
      </c>
      <c r="H22" s="2"/>
    </row>
    <row r="23" spans="3:8" x14ac:dyDescent="0.25">
      <c r="C23" s="2" t="s">
        <v>25</v>
      </c>
      <c r="D23" s="2"/>
      <c r="E23" s="2">
        <v>2000</v>
      </c>
      <c r="F23" s="2">
        <f t="shared" si="0"/>
        <v>2400</v>
      </c>
      <c r="G23" s="2">
        <f t="shared" si="1"/>
        <v>4000</v>
      </c>
      <c r="H23" s="2"/>
    </row>
    <row r="24" spans="3:8" x14ac:dyDescent="0.25">
      <c r="C24" s="2" t="s">
        <v>26</v>
      </c>
      <c r="D24" s="2"/>
      <c r="E24" s="2">
        <v>1300</v>
      </c>
      <c r="F24" s="2">
        <f t="shared" si="0"/>
        <v>1560</v>
      </c>
      <c r="G24" s="2">
        <f t="shared" si="1"/>
        <v>2600</v>
      </c>
      <c r="H24" s="2"/>
    </row>
    <row r="25" spans="3:8" x14ac:dyDescent="0.25">
      <c r="C25" s="2" t="s">
        <v>27</v>
      </c>
      <c r="D25" s="2"/>
      <c r="E25" s="2">
        <v>350</v>
      </c>
      <c r="F25" s="2">
        <f t="shared" si="0"/>
        <v>420</v>
      </c>
      <c r="G25" s="2">
        <f t="shared" si="1"/>
        <v>700</v>
      </c>
      <c r="H25" s="2"/>
    </row>
    <row r="26" spans="3:8" x14ac:dyDescent="0.25">
      <c r="C26" s="2" t="s">
        <v>28</v>
      </c>
      <c r="D26" s="2"/>
      <c r="E26" s="2">
        <v>2200</v>
      </c>
      <c r="F26" s="2">
        <f t="shared" ref="F26:F112" si="2">+E26*1.2</f>
        <v>2640</v>
      </c>
      <c r="G26" s="2">
        <f t="shared" ref="G26:G112" si="3">+E26*2</f>
        <v>4400</v>
      </c>
      <c r="H26" s="2"/>
    </row>
    <row r="27" spans="3:8" x14ac:dyDescent="0.25">
      <c r="C27" s="2" t="s">
        <v>29</v>
      </c>
      <c r="D27" s="2"/>
      <c r="E27" s="2">
        <v>600</v>
      </c>
      <c r="F27" s="2">
        <f t="shared" si="2"/>
        <v>720</v>
      </c>
      <c r="G27" s="2">
        <f t="shared" si="3"/>
        <v>1200</v>
      </c>
      <c r="H27" s="2"/>
    </row>
    <row r="28" spans="3:8" x14ac:dyDescent="0.25">
      <c r="C28" s="2" t="s">
        <v>30</v>
      </c>
      <c r="D28" s="2"/>
      <c r="E28" s="2">
        <v>600</v>
      </c>
      <c r="F28" s="2">
        <f t="shared" si="2"/>
        <v>720</v>
      </c>
      <c r="G28" s="2">
        <f t="shared" si="3"/>
        <v>1200</v>
      </c>
      <c r="H28" s="2"/>
    </row>
    <row r="29" spans="3:8" x14ac:dyDescent="0.25">
      <c r="C29" s="2" t="s">
        <v>31</v>
      </c>
      <c r="D29" s="2"/>
      <c r="E29" s="2">
        <v>200</v>
      </c>
      <c r="F29" s="2">
        <f t="shared" si="2"/>
        <v>240</v>
      </c>
      <c r="G29" s="2">
        <f t="shared" si="3"/>
        <v>400</v>
      </c>
      <c r="H29" s="2"/>
    </row>
    <row r="30" spans="3:8" x14ac:dyDescent="0.25">
      <c r="C30" s="2" t="s">
        <v>32</v>
      </c>
      <c r="D30" s="2"/>
      <c r="E30" s="2">
        <v>260</v>
      </c>
      <c r="F30" s="2">
        <f t="shared" si="2"/>
        <v>312</v>
      </c>
      <c r="G30" s="2">
        <f t="shared" si="3"/>
        <v>520</v>
      </c>
      <c r="H30" s="2"/>
    </row>
    <row r="31" spans="3:8" x14ac:dyDescent="0.25">
      <c r="C31" s="2" t="s">
        <v>33</v>
      </c>
      <c r="D31" s="2"/>
      <c r="E31" s="2">
        <v>300</v>
      </c>
      <c r="F31" s="2">
        <f t="shared" si="2"/>
        <v>360</v>
      </c>
      <c r="G31" s="2">
        <f t="shared" si="3"/>
        <v>600</v>
      </c>
      <c r="H31" s="2"/>
    </row>
    <row r="32" spans="3:8" x14ac:dyDescent="0.25">
      <c r="C32" s="2" t="s">
        <v>34</v>
      </c>
      <c r="D32" s="2"/>
      <c r="E32" s="2">
        <v>800</v>
      </c>
      <c r="F32" s="2">
        <f t="shared" si="2"/>
        <v>960</v>
      </c>
      <c r="G32" s="2">
        <f t="shared" si="3"/>
        <v>1600</v>
      </c>
      <c r="H32" s="2"/>
    </row>
    <row r="33" spans="3:8" x14ac:dyDescent="0.25">
      <c r="C33" s="2" t="s">
        <v>35</v>
      </c>
      <c r="D33" s="2"/>
      <c r="E33" s="2">
        <v>180</v>
      </c>
      <c r="F33" s="2">
        <f t="shared" si="2"/>
        <v>216</v>
      </c>
      <c r="G33" s="2">
        <f t="shared" si="3"/>
        <v>360</v>
      </c>
      <c r="H33" s="2"/>
    </row>
    <row r="34" spans="3:8" x14ac:dyDescent="0.25">
      <c r="C34" s="2" t="s">
        <v>36</v>
      </c>
      <c r="D34" s="2"/>
      <c r="E34" s="2">
        <v>160</v>
      </c>
      <c r="F34" s="2">
        <f t="shared" si="2"/>
        <v>192</v>
      </c>
      <c r="G34" s="2">
        <f t="shared" si="3"/>
        <v>320</v>
      </c>
      <c r="H34" s="2"/>
    </row>
    <row r="35" spans="3:8" x14ac:dyDescent="0.25">
      <c r="C35" s="2" t="s">
        <v>37</v>
      </c>
      <c r="D35" s="2"/>
      <c r="E35" s="2">
        <v>140</v>
      </c>
      <c r="F35" s="2">
        <f t="shared" si="2"/>
        <v>168</v>
      </c>
      <c r="G35" s="2">
        <f t="shared" si="3"/>
        <v>280</v>
      </c>
      <c r="H35" s="2"/>
    </row>
    <row r="36" spans="3:8" x14ac:dyDescent="0.25">
      <c r="C36" s="2" t="s">
        <v>38</v>
      </c>
      <c r="D36" s="2"/>
      <c r="E36" s="2">
        <v>250</v>
      </c>
      <c r="F36" s="2">
        <f t="shared" si="2"/>
        <v>300</v>
      </c>
      <c r="G36" s="2">
        <f t="shared" si="3"/>
        <v>500</v>
      </c>
      <c r="H36" s="2"/>
    </row>
    <row r="37" spans="3:8" x14ac:dyDescent="0.25">
      <c r="C37" s="2" t="s">
        <v>39</v>
      </c>
      <c r="D37" s="2"/>
      <c r="E37" s="2">
        <v>450</v>
      </c>
      <c r="F37" s="2">
        <f t="shared" si="2"/>
        <v>540</v>
      </c>
      <c r="G37" s="2">
        <f t="shared" si="3"/>
        <v>900</v>
      </c>
      <c r="H37" s="2"/>
    </row>
    <row r="38" spans="3:8" x14ac:dyDescent="0.25">
      <c r="C38" s="2" t="s">
        <v>40</v>
      </c>
      <c r="D38" s="2"/>
      <c r="E38" s="2">
        <v>480</v>
      </c>
      <c r="F38" s="2">
        <f t="shared" si="2"/>
        <v>576</v>
      </c>
      <c r="G38" s="2">
        <f t="shared" si="3"/>
        <v>960</v>
      </c>
      <c r="H38" s="2"/>
    </row>
    <row r="39" spans="3:8" x14ac:dyDescent="0.25">
      <c r="C39" s="2" t="s">
        <v>41</v>
      </c>
      <c r="D39" s="2"/>
      <c r="E39" s="2">
        <v>300</v>
      </c>
      <c r="F39" s="2">
        <f t="shared" si="2"/>
        <v>360</v>
      </c>
      <c r="G39" s="2">
        <f t="shared" si="3"/>
        <v>600</v>
      </c>
      <c r="H39" s="2"/>
    </row>
    <row r="40" spans="3:8" x14ac:dyDescent="0.25">
      <c r="C40" s="2" t="s">
        <v>42</v>
      </c>
      <c r="D40" s="2"/>
      <c r="E40" s="2">
        <v>800</v>
      </c>
      <c r="F40" s="2">
        <f t="shared" si="2"/>
        <v>960</v>
      </c>
      <c r="G40" s="2">
        <f t="shared" si="3"/>
        <v>1600</v>
      </c>
      <c r="H40" s="2"/>
    </row>
    <row r="41" spans="3:8" x14ac:dyDescent="0.25">
      <c r="C41" s="2" t="s">
        <v>43</v>
      </c>
      <c r="D41" s="2"/>
      <c r="E41" s="2">
        <v>130</v>
      </c>
      <c r="F41" s="2">
        <f t="shared" si="2"/>
        <v>156</v>
      </c>
      <c r="G41" s="2">
        <f t="shared" si="3"/>
        <v>260</v>
      </c>
      <c r="H41" s="2"/>
    </row>
    <row r="42" spans="3:8" x14ac:dyDescent="0.25">
      <c r="C42" s="2" t="s">
        <v>44</v>
      </c>
      <c r="D42" s="2"/>
      <c r="E42" s="2">
        <v>200</v>
      </c>
      <c r="F42" s="2">
        <f t="shared" si="2"/>
        <v>240</v>
      </c>
      <c r="G42" s="2">
        <f t="shared" si="3"/>
        <v>400</v>
      </c>
      <c r="H42" s="2"/>
    </row>
    <row r="43" spans="3:8" x14ac:dyDescent="0.25">
      <c r="C43" s="2" t="s">
        <v>45</v>
      </c>
      <c r="D43" s="2"/>
      <c r="E43" s="2">
        <v>310</v>
      </c>
      <c r="F43" s="2">
        <f t="shared" si="2"/>
        <v>372</v>
      </c>
      <c r="G43" s="2">
        <f t="shared" si="3"/>
        <v>620</v>
      </c>
      <c r="H43" s="2"/>
    </row>
    <row r="44" spans="3:8" x14ac:dyDescent="0.25">
      <c r="C44" s="2" t="s">
        <v>46</v>
      </c>
      <c r="D44" s="2"/>
      <c r="E44" s="2">
        <v>850</v>
      </c>
      <c r="F44" s="2">
        <f t="shared" si="2"/>
        <v>1020</v>
      </c>
      <c r="G44" s="2">
        <f t="shared" si="3"/>
        <v>1700</v>
      </c>
      <c r="H44" s="2"/>
    </row>
    <row r="45" spans="3:8" x14ac:dyDescent="0.25">
      <c r="C45" s="2" t="s">
        <v>47</v>
      </c>
      <c r="D45" s="2"/>
      <c r="E45" s="2">
        <v>850</v>
      </c>
      <c r="F45" s="2">
        <f t="shared" si="2"/>
        <v>1020</v>
      </c>
      <c r="G45" s="2">
        <f t="shared" si="3"/>
        <v>1700</v>
      </c>
      <c r="H45" s="2"/>
    </row>
    <row r="46" spans="3:8" x14ac:dyDescent="0.25">
      <c r="C46" s="2" t="s">
        <v>48</v>
      </c>
      <c r="D46" s="2"/>
      <c r="E46" s="2">
        <v>1850</v>
      </c>
      <c r="F46" s="2">
        <f t="shared" si="2"/>
        <v>2220</v>
      </c>
      <c r="G46" s="2">
        <f t="shared" si="3"/>
        <v>3700</v>
      </c>
      <c r="H46" s="2"/>
    </row>
    <row r="47" spans="3:8" x14ac:dyDescent="0.25">
      <c r="C47" s="2" t="s">
        <v>49</v>
      </c>
      <c r="D47" s="2"/>
      <c r="E47" s="2">
        <v>420</v>
      </c>
      <c r="F47" s="2">
        <f t="shared" si="2"/>
        <v>504</v>
      </c>
      <c r="G47" s="2">
        <f t="shared" si="3"/>
        <v>840</v>
      </c>
      <c r="H47" s="2"/>
    </row>
    <row r="48" spans="3:8" x14ac:dyDescent="0.25">
      <c r="C48" s="2" t="s">
        <v>50</v>
      </c>
      <c r="D48" s="2"/>
      <c r="E48" s="2">
        <v>1100</v>
      </c>
      <c r="F48" s="2">
        <f t="shared" si="2"/>
        <v>1320</v>
      </c>
      <c r="G48" s="2">
        <f t="shared" si="3"/>
        <v>2200</v>
      </c>
      <c r="H48" s="2"/>
    </row>
    <row r="49" spans="3:8" x14ac:dyDescent="0.25">
      <c r="C49" s="2" t="s">
        <v>51</v>
      </c>
      <c r="D49" s="2"/>
      <c r="E49" s="2">
        <v>2200</v>
      </c>
      <c r="F49" s="2">
        <f t="shared" si="2"/>
        <v>2640</v>
      </c>
      <c r="G49" s="2">
        <f t="shared" si="3"/>
        <v>4400</v>
      </c>
      <c r="H49" s="2"/>
    </row>
    <row r="50" spans="3:8" x14ac:dyDescent="0.25">
      <c r="C50" s="2" t="s">
        <v>52</v>
      </c>
      <c r="D50" s="2"/>
      <c r="E50" s="2">
        <v>90</v>
      </c>
      <c r="F50" s="2">
        <f t="shared" si="2"/>
        <v>108</v>
      </c>
      <c r="G50" s="2">
        <f t="shared" si="3"/>
        <v>180</v>
      </c>
      <c r="H50" s="2"/>
    </row>
    <row r="51" spans="3:8" x14ac:dyDescent="0.25">
      <c r="C51" s="2" t="s">
        <v>53</v>
      </c>
      <c r="D51" s="2"/>
      <c r="E51" s="2">
        <v>350</v>
      </c>
      <c r="F51" s="2">
        <f t="shared" si="2"/>
        <v>420</v>
      </c>
      <c r="G51" s="2">
        <f t="shared" si="3"/>
        <v>700</v>
      </c>
      <c r="H51" s="2"/>
    </row>
    <row r="52" spans="3:8" x14ac:dyDescent="0.25">
      <c r="C52" s="2" t="s">
        <v>54</v>
      </c>
      <c r="D52" s="2"/>
      <c r="E52" s="2">
        <v>180</v>
      </c>
      <c r="F52" s="2">
        <f t="shared" si="2"/>
        <v>216</v>
      </c>
      <c r="G52" s="2">
        <f t="shared" si="3"/>
        <v>360</v>
      </c>
      <c r="H52" s="2"/>
    </row>
    <row r="53" spans="3:8" x14ac:dyDescent="0.25">
      <c r="C53" s="2" t="s">
        <v>55</v>
      </c>
      <c r="D53" s="2"/>
      <c r="E53" s="2">
        <v>390</v>
      </c>
      <c r="F53" s="2">
        <f t="shared" si="2"/>
        <v>468</v>
      </c>
      <c r="G53" s="2">
        <f t="shared" si="3"/>
        <v>780</v>
      </c>
      <c r="H53" s="2"/>
    </row>
    <row r="54" spans="3:8" x14ac:dyDescent="0.25">
      <c r="C54" s="2" t="s">
        <v>56</v>
      </c>
      <c r="D54" s="2"/>
      <c r="E54" s="2">
        <v>750</v>
      </c>
      <c r="F54" s="2">
        <f t="shared" si="2"/>
        <v>900</v>
      </c>
      <c r="G54" s="2">
        <f t="shared" si="3"/>
        <v>1500</v>
      </c>
      <c r="H54" s="2"/>
    </row>
    <row r="55" spans="3:8" x14ac:dyDescent="0.25">
      <c r="C55" s="2" t="s">
        <v>57</v>
      </c>
      <c r="D55" s="2"/>
      <c r="E55" s="2">
        <v>200</v>
      </c>
      <c r="F55" s="2">
        <f t="shared" si="2"/>
        <v>240</v>
      </c>
      <c r="G55" s="2">
        <f t="shared" si="3"/>
        <v>400</v>
      </c>
      <c r="H55" s="2"/>
    </row>
    <row r="56" spans="3:8" x14ac:dyDescent="0.25">
      <c r="C56" s="2" t="s">
        <v>58</v>
      </c>
      <c r="D56" s="2"/>
      <c r="E56" s="2">
        <v>790</v>
      </c>
      <c r="F56" s="2">
        <f t="shared" si="2"/>
        <v>948</v>
      </c>
      <c r="G56" s="2">
        <f t="shared" si="3"/>
        <v>1580</v>
      </c>
      <c r="H56" s="2"/>
    </row>
    <row r="57" spans="3:8" x14ac:dyDescent="0.25">
      <c r="C57" s="2" t="s">
        <v>59</v>
      </c>
      <c r="D57" s="2"/>
      <c r="E57" s="2">
        <v>280</v>
      </c>
      <c r="F57" s="2">
        <f t="shared" si="2"/>
        <v>336</v>
      </c>
      <c r="G57" s="2">
        <f t="shared" si="3"/>
        <v>560</v>
      </c>
      <c r="H57" s="2"/>
    </row>
    <row r="58" spans="3:8" x14ac:dyDescent="0.25">
      <c r="C58" s="2" t="s">
        <v>60</v>
      </c>
      <c r="D58" s="2"/>
      <c r="E58" s="2">
        <v>1550</v>
      </c>
      <c r="F58" s="2">
        <f t="shared" si="2"/>
        <v>1860</v>
      </c>
      <c r="G58" s="2">
        <f t="shared" si="3"/>
        <v>3100</v>
      </c>
      <c r="H58" s="2"/>
    </row>
    <row r="59" spans="3:8" x14ac:dyDescent="0.25">
      <c r="C59" s="2" t="s">
        <v>61</v>
      </c>
      <c r="D59" s="2"/>
      <c r="E59" s="2">
        <v>520</v>
      </c>
      <c r="F59" s="2">
        <f t="shared" si="2"/>
        <v>624</v>
      </c>
      <c r="G59" s="2">
        <f t="shared" si="3"/>
        <v>1040</v>
      </c>
      <c r="H59" s="2"/>
    </row>
    <row r="60" spans="3:8" x14ac:dyDescent="0.25">
      <c r="C60" s="2" t="s">
        <v>62</v>
      </c>
      <c r="D60" s="2"/>
      <c r="E60" s="2">
        <v>1150</v>
      </c>
      <c r="F60" s="2">
        <f t="shared" si="2"/>
        <v>1380</v>
      </c>
      <c r="G60" s="2">
        <f t="shared" si="3"/>
        <v>2300</v>
      </c>
      <c r="H60" s="2"/>
    </row>
    <row r="61" spans="3:8" x14ac:dyDescent="0.25">
      <c r="C61" s="2" t="s">
        <v>63</v>
      </c>
      <c r="D61" s="2"/>
      <c r="E61" s="2">
        <v>2850</v>
      </c>
      <c r="F61" s="2">
        <f t="shared" si="2"/>
        <v>3420</v>
      </c>
      <c r="G61" s="2">
        <f t="shared" si="3"/>
        <v>5700</v>
      </c>
      <c r="H61" s="2"/>
    </row>
    <row r="62" spans="3:8" x14ac:dyDescent="0.25">
      <c r="C62" s="2" t="s">
        <v>64</v>
      </c>
      <c r="D62" s="2"/>
      <c r="E62" s="2">
        <v>2300</v>
      </c>
      <c r="F62" s="2">
        <f t="shared" si="2"/>
        <v>2760</v>
      </c>
      <c r="G62" s="2">
        <f t="shared" si="3"/>
        <v>4600</v>
      </c>
      <c r="H62" s="2"/>
    </row>
    <row r="63" spans="3:8" x14ac:dyDescent="0.25">
      <c r="C63" s="2" t="s">
        <v>65</v>
      </c>
      <c r="D63" s="2"/>
      <c r="E63" s="2">
        <v>440</v>
      </c>
      <c r="F63" s="2">
        <f t="shared" si="2"/>
        <v>528</v>
      </c>
      <c r="G63" s="2">
        <f t="shared" si="3"/>
        <v>880</v>
      </c>
      <c r="H63" s="2"/>
    </row>
    <row r="64" spans="3:8" x14ac:dyDescent="0.25">
      <c r="C64" s="2" t="s">
        <v>66</v>
      </c>
      <c r="D64" s="2"/>
      <c r="E64" s="2">
        <v>80</v>
      </c>
      <c r="F64" s="2">
        <f t="shared" si="2"/>
        <v>96</v>
      </c>
      <c r="G64" s="2">
        <f t="shared" si="3"/>
        <v>160</v>
      </c>
      <c r="H64" s="2"/>
    </row>
    <row r="65" spans="3:8" x14ac:dyDescent="0.25">
      <c r="C65" s="2" t="s">
        <v>67</v>
      </c>
      <c r="D65" s="2"/>
      <c r="E65" s="2">
        <v>188</v>
      </c>
      <c r="F65" s="2">
        <f t="shared" si="2"/>
        <v>225.6</v>
      </c>
      <c r="G65" s="2">
        <f t="shared" si="3"/>
        <v>376</v>
      </c>
      <c r="H65" s="2"/>
    </row>
    <row r="66" spans="3:8" x14ac:dyDescent="0.25">
      <c r="C66" s="2" t="s">
        <v>68</v>
      </c>
      <c r="D66" s="2"/>
      <c r="E66" s="2">
        <v>140</v>
      </c>
      <c r="F66" s="2">
        <f t="shared" si="2"/>
        <v>168</v>
      </c>
      <c r="G66" s="2">
        <f t="shared" si="3"/>
        <v>280</v>
      </c>
      <c r="H66" s="2"/>
    </row>
    <row r="67" spans="3:8" x14ac:dyDescent="0.25">
      <c r="C67" s="2" t="s">
        <v>69</v>
      </c>
      <c r="D67" s="2"/>
      <c r="E67" s="2">
        <v>410</v>
      </c>
      <c r="F67" s="2">
        <f t="shared" si="2"/>
        <v>492</v>
      </c>
      <c r="G67" s="2">
        <f t="shared" si="3"/>
        <v>820</v>
      </c>
      <c r="H67" s="2"/>
    </row>
    <row r="68" spans="3:8" x14ac:dyDescent="0.25">
      <c r="C68" s="2" t="s">
        <v>70</v>
      </c>
      <c r="D68" s="2"/>
      <c r="E68" s="2">
        <v>400</v>
      </c>
      <c r="F68" s="2">
        <f t="shared" si="2"/>
        <v>480</v>
      </c>
      <c r="G68" s="2">
        <f t="shared" si="3"/>
        <v>800</v>
      </c>
      <c r="H68" s="2"/>
    </row>
    <row r="69" spans="3:8" x14ac:dyDescent="0.25">
      <c r="C69" s="2" t="s">
        <v>71</v>
      </c>
      <c r="D69" s="2"/>
      <c r="E69" s="2">
        <v>120</v>
      </c>
      <c r="F69" s="2">
        <f t="shared" si="2"/>
        <v>144</v>
      </c>
      <c r="G69" s="2">
        <f t="shared" si="3"/>
        <v>240</v>
      </c>
      <c r="H69" s="2"/>
    </row>
    <row r="70" spans="3:8" x14ac:dyDescent="0.25">
      <c r="C70" s="2" t="s">
        <v>72</v>
      </c>
      <c r="D70" s="2"/>
      <c r="E70" s="2">
        <v>140</v>
      </c>
      <c r="F70" s="2">
        <f t="shared" si="2"/>
        <v>168</v>
      </c>
      <c r="G70" s="2">
        <f t="shared" si="3"/>
        <v>280</v>
      </c>
      <c r="H70" s="2"/>
    </row>
    <row r="71" spans="3:8" x14ac:dyDescent="0.25">
      <c r="C71" s="2" t="s">
        <v>73</v>
      </c>
      <c r="D71" s="2"/>
      <c r="E71" s="2">
        <v>85</v>
      </c>
      <c r="F71" s="2">
        <f t="shared" si="2"/>
        <v>102</v>
      </c>
      <c r="G71" s="2">
        <f t="shared" si="3"/>
        <v>170</v>
      </c>
      <c r="H71" s="2"/>
    </row>
    <row r="72" spans="3:8" x14ac:dyDescent="0.25">
      <c r="C72" s="2" t="s">
        <v>74</v>
      </c>
      <c r="D72" s="2"/>
      <c r="E72" s="2">
        <v>1600</v>
      </c>
      <c r="F72" s="2">
        <f t="shared" si="2"/>
        <v>1920</v>
      </c>
      <c r="G72" s="2">
        <f t="shared" si="3"/>
        <v>3200</v>
      </c>
      <c r="H72" s="2"/>
    </row>
    <row r="73" spans="3:8" x14ac:dyDescent="0.25">
      <c r="C73" s="2" t="s">
        <v>75</v>
      </c>
      <c r="D73" s="2"/>
      <c r="E73" s="2">
        <v>490</v>
      </c>
      <c r="F73" s="2">
        <f t="shared" si="2"/>
        <v>588</v>
      </c>
      <c r="G73" s="2">
        <f t="shared" si="3"/>
        <v>980</v>
      </c>
      <c r="H73" s="2"/>
    </row>
    <row r="74" spans="3:8" x14ac:dyDescent="0.25">
      <c r="C74" s="2" t="s">
        <v>76</v>
      </c>
      <c r="D74" s="2"/>
      <c r="E74" s="2">
        <v>850</v>
      </c>
      <c r="F74" s="2">
        <f t="shared" si="2"/>
        <v>1020</v>
      </c>
      <c r="G74" s="2">
        <f t="shared" si="3"/>
        <v>1700</v>
      </c>
      <c r="H74" s="2"/>
    </row>
    <row r="75" spans="3:8" x14ac:dyDescent="0.25">
      <c r="C75" s="2" t="s">
        <v>77</v>
      </c>
      <c r="D75" s="2"/>
      <c r="E75" s="2">
        <v>195</v>
      </c>
      <c r="F75" s="2">
        <f t="shared" si="2"/>
        <v>234</v>
      </c>
      <c r="G75" s="2">
        <f t="shared" si="3"/>
        <v>390</v>
      </c>
      <c r="H75" s="2"/>
    </row>
    <row r="76" spans="3:8" x14ac:dyDescent="0.25">
      <c r="C76" s="2" t="s">
        <v>78</v>
      </c>
      <c r="D76" s="2"/>
      <c r="E76" s="2">
        <v>200</v>
      </c>
      <c r="F76" s="2">
        <f t="shared" si="2"/>
        <v>240</v>
      </c>
      <c r="G76" s="2">
        <f t="shared" si="3"/>
        <v>400</v>
      </c>
      <c r="H76" s="2"/>
    </row>
    <row r="77" spans="3:8" x14ac:dyDescent="0.25">
      <c r="C77" s="2" t="s">
        <v>79</v>
      </c>
      <c r="D77" s="2"/>
      <c r="E77" s="2">
        <v>280</v>
      </c>
      <c r="F77" s="2">
        <f t="shared" si="2"/>
        <v>336</v>
      </c>
      <c r="G77" s="2">
        <f t="shared" si="3"/>
        <v>560</v>
      </c>
      <c r="H77" s="2"/>
    </row>
    <row r="78" spans="3:8" x14ac:dyDescent="0.25">
      <c r="C78" s="2" t="s">
        <v>80</v>
      </c>
      <c r="D78" s="2"/>
      <c r="E78" s="2">
        <v>140</v>
      </c>
      <c r="F78" s="2">
        <f t="shared" si="2"/>
        <v>168</v>
      </c>
      <c r="G78" s="2">
        <f t="shared" si="3"/>
        <v>280</v>
      </c>
      <c r="H78" s="2"/>
    </row>
    <row r="79" spans="3:8" x14ac:dyDescent="0.25">
      <c r="C79" s="2" t="s">
        <v>81</v>
      </c>
      <c r="D79" s="2"/>
      <c r="E79" s="2">
        <v>370</v>
      </c>
      <c r="F79" s="2">
        <f t="shared" si="2"/>
        <v>444</v>
      </c>
      <c r="G79" s="2">
        <f t="shared" si="3"/>
        <v>740</v>
      </c>
      <c r="H79" s="2"/>
    </row>
    <row r="80" spans="3:8" x14ac:dyDescent="0.25">
      <c r="C80" s="2" t="s">
        <v>82</v>
      </c>
      <c r="D80" s="2"/>
      <c r="E80" s="2">
        <v>80</v>
      </c>
      <c r="F80" s="2">
        <f t="shared" si="2"/>
        <v>96</v>
      </c>
      <c r="G80" s="2">
        <f t="shared" si="3"/>
        <v>160</v>
      </c>
      <c r="H80" s="2"/>
    </row>
    <row r="81" spans="3:8" x14ac:dyDescent="0.25">
      <c r="C81" s="2" t="s">
        <v>83</v>
      </c>
      <c r="D81" s="2"/>
      <c r="E81" s="2">
        <v>380</v>
      </c>
      <c r="F81" s="2">
        <f t="shared" si="2"/>
        <v>456</v>
      </c>
      <c r="G81" s="2">
        <f t="shared" si="3"/>
        <v>760</v>
      </c>
      <c r="H81" s="2"/>
    </row>
    <row r="82" spans="3:8" x14ac:dyDescent="0.25">
      <c r="C82" s="2" t="s">
        <v>84</v>
      </c>
      <c r="D82" s="2"/>
      <c r="E82" s="2">
        <v>100</v>
      </c>
      <c r="F82" s="2">
        <f t="shared" si="2"/>
        <v>120</v>
      </c>
      <c r="G82" s="2">
        <f t="shared" si="3"/>
        <v>200</v>
      </c>
      <c r="H82" s="2"/>
    </row>
    <row r="83" spans="3:8" x14ac:dyDescent="0.25">
      <c r="C83" s="2" t="s">
        <v>85</v>
      </c>
      <c r="D83" s="2"/>
      <c r="E83" s="2">
        <v>280</v>
      </c>
      <c r="F83" s="2">
        <f t="shared" si="2"/>
        <v>336</v>
      </c>
      <c r="G83" s="2">
        <f t="shared" si="3"/>
        <v>560</v>
      </c>
      <c r="H83" s="2"/>
    </row>
    <row r="84" spans="3:8" x14ac:dyDescent="0.25">
      <c r="C84" s="2" t="s">
        <v>86</v>
      </c>
      <c r="D84" s="2"/>
      <c r="E84" s="2">
        <v>760</v>
      </c>
      <c r="F84" s="2">
        <f t="shared" si="2"/>
        <v>912</v>
      </c>
      <c r="G84" s="2">
        <f t="shared" si="3"/>
        <v>1520</v>
      </c>
      <c r="H84" s="2"/>
    </row>
    <row r="85" spans="3:8" x14ac:dyDescent="0.25">
      <c r="C85" s="2" t="s">
        <v>87</v>
      </c>
      <c r="D85" s="2"/>
      <c r="E85" s="2">
        <v>70</v>
      </c>
      <c r="F85" s="2">
        <f t="shared" si="2"/>
        <v>84</v>
      </c>
      <c r="G85" s="2">
        <f t="shared" si="3"/>
        <v>140</v>
      </c>
      <c r="H85" s="2"/>
    </row>
    <row r="86" spans="3:8" x14ac:dyDescent="0.25">
      <c r="C86" s="2" t="s">
        <v>88</v>
      </c>
      <c r="D86" s="2"/>
      <c r="E86" s="2">
        <v>570</v>
      </c>
      <c r="F86" s="2">
        <f t="shared" si="2"/>
        <v>684</v>
      </c>
      <c r="G86" s="2">
        <f t="shared" si="3"/>
        <v>1140</v>
      </c>
      <c r="H86" s="2"/>
    </row>
    <row r="87" spans="3:8" x14ac:dyDescent="0.25">
      <c r="C87" s="2" t="s">
        <v>89</v>
      </c>
      <c r="D87" s="2"/>
      <c r="E87" s="2">
        <v>770</v>
      </c>
      <c r="F87" s="2">
        <f t="shared" si="2"/>
        <v>924</v>
      </c>
      <c r="G87" s="2">
        <f t="shared" si="3"/>
        <v>1540</v>
      </c>
      <c r="H87" s="2"/>
    </row>
    <row r="88" spans="3:8" x14ac:dyDescent="0.25">
      <c r="C88" s="2" t="s">
        <v>90</v>
      </c>
      <c r="D88" s="2"/>
      <c r="E88" s="2">
        <v>80</v>
      </c>
      <c r="F88" s="2">
        <f t="shared" si="2"/>
        <v>96</v>
      </c>
      <c r="G88" s="2">
        <f t="shared" si="3"/>
        <v>160</v>
      </c>
      <c r="H88" s="2"/>
    </row>
    <row r="89" spans="3:8" x14ac:dyDescent="0.25">
      <c r="C89" s="2" t="s">
        <v>91</v>
      </c>
      <c r="D89" s="2"/>
      <c r="E89" s="2">
        <v>280</v>
      </c>
      <c r="F89" s="2">
        <f t="shared" si="2"/>
        <v>336</v>
      </c>
      <c r="G89" s="2">
        <f t="shared" si="3"/>
        <v>560</v>
      </c>
      <c r="H89" s="2"/>
    </row>
    <row r="90" spans="3:8" x14ac:dyDescent="0.25">
      <c r="C90" s="2" t="s">
        <v>92</v>
      </c>
      <c r="D90" s="2"/>
      <c r="E90" s="2">
        <v>1200</v>
      </c>
      <c r="F90" s="2">
        <f t="shared" si="2"/>
        <v>1440</v>
      </c>
      <c r="G90" s="2">
        <f t="shared" si="3"/>
        <v>2400</v>
      </c>
      <c r="H90" s="2"/>
    </row>
    <row r="91" spans="3:8" x14ac:dyDescent="0.25">
      <c r="C91" s="2" t="s">
        <v>93</v>
      </c>
      <c r="D91" s="2"/>
      <c r="E91" s="2">
        <v>2000</v>
      </c>
      <c r="F91" s="2">
        <f t="shared" si="2"/>
        <v>2400</v>
      </c>
      <c r="G91" s="2">
        <f t="shared" si="3"/>
        <v>4000</v>
      </c>
      <c r="H91" s="2"/>
    </row>
    <row r="92" spans="3:8" x14ac:dyDescent="0.25">
      <c r="C92" s="2" t="s">
        <v>94</v>
      </c>
      <c r="D92" s="2"/>
      <c r="E92" s="2">
        <v>2500</v>
      </c>
      <c r="F92" s="2">
        <f t="shared" si="2"/>
        <v>3000</v>
      </c>
      <c r="G92" s="2">
        <f t="shared" si="3"/>
        <v>5000</v>
      </c>
      <c r="H92" s="2"/>
    </row>
    <row r="93" spans="3:8" x14ac:dyDescent="0.25">
      <c r="C93" s="2" t="s">
        <v>95</v>
      </c>
      <c r="D93" s="2"/>
      <c r="E93" s="2">
        <v>280</v>
      </c>
      <c r="F93" s="2">
        <f t="shared" si="2"/>
        <v>336</v>
      </c>
      <c r="G93" s="2">
        <f t="shared" si="3"/>
        <v>560</v>
      </c>
      <c r="H93" s="2"/>
    </row>
    <row r="94" spans="3:8" x14ac:dyDescent="0.25">
      <c r="C94" s="2" t="s">
        <v>96</v>
      </c>
      <c r="D94" s="2"/>
      <c r="E94" s="2">
        <v>1600</v>
      </c>
      <c r="F94" s="2">
        <f t="shared" si="2"/>
        <v>1920</v>
      </c>
      <c r="G94" s="2">
        <f t="shared" si="3"/>
        <v>3200</v>
      </c>
      <c r="H94" s="2"/>
    </row>
    <row r="95" spans="3:8" x14ac:dyDescent="0.25">
      <c r="C95" s="2" t="s">
        <v>97</v>
      </c>
      <c r="D95" s="2"/>
      <c r="E95" s="2">
        <v>1200</v>
      </c>
      <c r="F95" s="2">
        <f t="shared" si="2"/>
        <v>1440</v>
      </c>
      <c r="G95" s="2">
        <f t="shared" si="3"/>
        <v>2400</v>
      </c>
      <c r="H95" s="2"/>
    </row>
    <row r="96" spans="3:8" x14ac:dyDescent="0.25">
      <c r="C96" s="2" t="s">
        <v>98</v>
      </c>
      <c r="D96" s="2"/>
      <c r="E96" s="2">
        <v>1000</v>
      </c>
      <c r="F96" s="2">
        <f t="shared" si="2"/>
        <v>1200</v>
      </c>
      <c r="G96" s="2">
        <f t="shared" si="3"/>
        <v>2000</v>
      </c>
      <c r="H96" s="2"/>
    </row>
    <row r="97" spans="3:8" x14ac:dyDescent="0.25">
      <c r="C97" s="2" t="s">
        <v>99</v>
      </c>
      <c r="D97" s="2"/>
      <c r="E97" s="2">
        <v>100</v>
      </c>
      <c r="F97" s="2">
        <f t="shared" si="2"/>
        <v>120</v>
      </c>
      <c r="G97" s="2">
        <f t="shared" si="3"/>
        <v>200</v>
      </c>
      <c r="H97" s="2"/>
    </row>
    <row r="98" spans="3:8" x14ac:dyDescent="0.25">
      <c r="C98" s="2" t="s">
        <v>100</v>
      </c>
      <c r="D98" s="2"/>
      <c r="E98" s="2">
        <v>600</v>
      </c>
      <c r="F98" s="2">
        <f t="shared" si="2"/>
        <v>720</v>
      </c>
      <c r="G98" s="2">
        <f t="shared" si="3"/>
        <v>1200</v>
      </c>
      <c r="H98" s="2"/>
    </row>
    <row r="99" spans="3:8" x14ac:dyDescent="0.25">
      <c r="C99" s="2" t="s">
        <v>101</v>
      </c>
      <c r="D99" s="2"/>
      <c r="E99" s="2">
        <v>690</v>
      </c>
      <c r="F99" s="2">
        <f t="shared" si="2"/>
        <v>828</v>
      </c>
      <c r="G99" s="2">
        <f t="shared" si="3"/>
        <v>1380</v>
      </c>
      <c r="H99" s="2"/>
    </row>
    <row r="100" spans="3:8" x14ac:dyDescent="0.25">
      <c r="C100" s="2" t="s">
        <v>102</v>
      </c>
      <c r="D100" s="2"/>
      <c r="E100" s="2">
        <v>300</v>
      </c>
      <c r="F100" s="2">
        <f t="shared" si="2"/>
        <v>360</v>
      </c>
      <c r="G100" s="2">
        <f t="shared" si="3"/>
        <v>600</v>
      </c>
      <c r="H100" s="2"/>
    </row>
    <row r="101" spans="3:8" x14ac:dyDescent="0.25">
      <c r="C101" s="2" t="s">
        <v>103</v>
      </c>
      <c r="D101" s="2"/>
      <c r="E101" s="2">
        <v>300</v>
      </c>
      <c r="F101" s="2">
        <f t="shared" si="2"/>
        <v>360</v>
      </c>
      <c r="G101" s="2">
        <f t="shared" si="3"/>
        <v>600</v>
      </c>
      <c r="H101" s="2"/>
    </row>
    <row r="102" spans="3:8" x14ac:dyDescent="0.25">
      <c r="C102" s="2" t="s">
        <v>104</v>
      </c>
      <c r="D102" s="2"/>
      <c r="E102" s="2">
        <v>180</v>
      </c>
      <c r="F102" s="2">
        <f t="shared" si="2"/>
        <v>216</v>
      </c>
      <c r="G102" s="2">
        <f t="shared" si="3"/>
        <v>360</v>
      </c>
      <c r="H102" s="2"/>
    </row>
    <row r="103" spans="3:8" x14ac:dyDescent="0.25">
      <c r="C103" s="2" t="s">
        <v>105</v>
      </c>
      <c r="D103" s="2"/>
      <c r="E103" s="2">
        <v>380</v>
      </c>
      <c r="F103" s="2">
        <f t="shared" si="2"/>
        <v>456</v>
      </c>
      <c r="G103" s="2">
        <f t="shared" si="3"/>
        <v>760</v>
      </c>
      <c r="H103" s="2"/>
    </row>
    <row r="104" spans="3:8" x14ac:dyDescent="0.25">
      <c r="C104" s="2" t="s">
        <v>106</v>
      </c>
      <c r="D104" s="2"/>
      <c r="E104" s="2">
        <v>300</v>
      </c>
      <c r="F104" s="2">
        <f t="shared" si="2"/>
        <v>360</v>
      </c>
      <c r="G104" s="2">
        <f t="shared" si="3"/>
        <v>600</v>
      </c>
      <c r="H104" s="2"/>
    </row>
    <row r="105" spans="3:8" x14ac:dyDescent="0.25">
      <c r="C105" s="2" t="s">
        <v>107</v>
      </c>
      <c r="D105" s="2"/>
      <c r="E105" s="2">
        <v>280</v>
      </c>
      <c r="F105" s="2">
        <f t="shared" si="2"/>
        <v>336</v>
      </c>
      <c r="G105" s="2">
        <f t="shared" si="3"/>
        <v>560</v>
      </c>
      <c r="H105" s="2"/>
    </row>
    <row r="106" spans="3:8" x14ac:dyDescent="0.25">
      <c r="C106" s="2" t="s">
        <v>108</v>
      </c>
      <c r="D106" s="2"/>
      <c r="E106" s="2">
        <v>600</v>
      </c>
      <c r="F106" s="2">
        <f t="shared" si="2"/>
        <v>720</v>
      </c>
      <c r="G106" s="2">
        <f t="shared" si="3"/>
        <v>1200</v>
      </c>
      <c r="H106" s="2"/>
    </row>
    <row r="107" spans="3:8" x14ac:dyDescent="0.25">
      <c r="C107" s="2" t="s">
        <v>109</v>
      </c>
      <c r="D107" s="2"/>
      <c r="E107" s="2">
        <v>1210</v>
      </c>
      <c r="F107" s="2">
        <f t="shared" si="2"/>
        <v>1452</v>
      </c>
      <c r="G107" s="2">
        <f t="shared" si="3"/>
        <v>2420</v>
      </c>
      <c r="H107" s="2"/>
    </row>
    <row r="108" spans="3:8" x14ac:dyDescent="0.25">
      <c r="C108" s="2" t="s">
        <v>110</v>
      </c>
      <c r="D108" s="2"/>
      <c r="E108" s="2">
        <v>320</v>
      </c>
      <c r="F108" s="2">
        <f t="shared" si="2"/>
        <v>384</v>
      </c>
      <c r="G108" s="2">
        <f t="shared" si="3"/>
        <v>640</v>
      </c>
      <c r="H108" s="2"/>
    </row>
    <row r="109" spans="3:8" x14ac:dyDescent="0.25">
      <c r="C109" s="2" t="s">
        <v>111</v>
      </c>
      <c r="D109" s="2"/>
      <c r="E109" s="2">
        <v>450</v>
      </c>
      <c r="F109" s="2">
        <f t="shared" si="2"/>
        <v>540</v>
      </c>
      <c r="G109" s="2">
        <f t="shared" si="3"/>
        <v>900</v>
      </c>
      <c r="H109" s="2"/>
    </row>
    <row r="110" spans="3:8" x14ac:dyDescent="0.25">
      <c r="C110" s="2" t="s">
        <v>112</v>
      </c>
      <c r="D110" s="2"/>
      <c r="E110" s="2">
        <v>240</v>
      </c>
      <c r="F110" s="2">
        <f t="shared" si="2"/>
        <v>288</v>
      </c>
      <c r="G110" s="2">
        <f t="shared" si="3"/>
        <v>480</v>
      </c>
      <c r="H110" s="2"/>
    </row>
    <row r="111" spans="3:8" x14ac:dyDescent="0.25">
      <c r="C111" s="2" t="s">
        <v>113</v>
      </c>
      <c r="D111" s="2"/>
      <c r="E111" s="2">
        <v>740</v>
      </c>
      <c r="F111" s="2">
        <f t="shared" si="2"/>
        <v>888</v>
      </c>
      <c r="G111" s="2">
        <f t="shared" si="3"/>
        <v>1480</v>
      </c>
      <c r="H111" s="2"/>
    </row>
    <row r="112" spans="3:8" x14ac:dyDescent="0.25">
      <c r="C112" s="2" t="s">
        <v>114</v>
      </c>
      <c r="D112" s="2"/>
      <c r="E112" s="2">
        <v>520</v>
      </c>
      <c r="F112" s="2">
        <f t="shared" si="2"/>
        <v>624</v>
      </c>
      <c r="G112" s="2">
        <f t="shared" si="3"/>
        <v>1040</v>
      </c>
      <c r="H112" s="2"/>
    </row>
    <row r="113" spans="3:8" x14ac:dyDescent="0.25">
      <c r="C113" s="2" t="s">
        <v>115</v>
      </c>
      <c r="D113" s="2"/>
      <c r="E113" s="2"/>
      <c r="F113" s="2"/>
      <c r="G113" s="2"/>
      <c r="H113" s="2"/>
    </row>
    <row r="114" spans="3:8" x14ac:dyDescent="0.25">
      <c r="C114" s="2" t="str">
        <f>+C113</f>
        <v>Kemei</v>
      </c>
      <c r="D114" s="2"/>
      <c r="E114" s="2"/>
      <c r="F114" s="2"/>
      <c r="G114" s="2"/>
      <c r="H114" s="2"/>
    </row>
    <row r="115" spans="3:8" x14ac:dyDescent="0.25">
      <c r="C115" s="2" t="s">
        <v>116</v>
      </c>
      <c r="D115" s="2"/>
      <c r="E115" s="2">
        <v>440</v>
      </c>
      <c r="F115" s="2">
        <f t="shared" ref="F115:F128" si="4">+E115*1.2</f>
        <v>528</v>
      </c>
      <c r="G115" s="2">
        <f t="shared" ref="G115:G128" si="5">+E115*2</f>
        <v>880</v>
      </c>
      <c r="H115" s="2"/>
    </row>
    <row r="116" spans="3:8" x14ac:dyDescent="0.25">
      <c r="C116" s="2" t="s">
        <v>117</v>
      </c>
      <c r="D116" s="2"/>
      <c r="E116" s="2">
        <v>720</v>
      </c>
      <c r="F116" s="2">
        <f t="shared" si="4"/>
        <v>864</v>
      </c>
      <c r="G116" s="2">
        <f t="shared" si="5"/>
        <v>1440</v>
      </c>
      <c r="H116" s="2"/>
    </row>
    <row r="117" spans="3:8" x14ac:dyDescent="0.25">
      <c r="C117" s="2" t="s">
        <v>55</v>
      </c>
      <c r="D117" s="2"/>
      <c r="E117" s="2">
        <v>390</v>
      </c>
      <c r="F117" s="2">
        <f t="shared" si="4"/>
        <v>468</v>
      </c>
      <c r="G117" s="2">
        <f t="shared" si="5"/>
        <v>780</v>
      </c>
      <c r="H117" s="2"/>
    </row>
    <row r="118" spans="3:8" x14ac:dyDescent="0.25">
      <c r="C118" s="2" t="s">
        <v>118</v>
      </c>
      <c r="D118" s="2"/>
      <c r="E118" s="2">
        <v>1000</v>
      </c>
      <c r="F118" s="2">
        <f t="shared" si="4"/>
        <v>1200</v>
      </c>
      <c r="G118" s="2">
        <f t="shared" si="5"/>
        <v>2000</v>
      </c>
      <c r="H118" s="2"/>
    </row>
    <row r="119" spans="3:8" x14ac:dyDescent="0.25">
      <c r="C119" s="2" t="s">
        <v>119</v>
      </c>
      <c r="D119" s="2"/>
      <c r="E119" s="2">
        <f>13*41</f>
        <v>533</v>
      </c>
      <c r="F119" s="2">
        <f t="shared" si="4"/>
        <v>639.6</v>
      </c>
      <c r="G119" s="2">
        <f t="shared" si="5"/>
        <v>1066</v>
      </c>
      <c r="H119" s="2"/>
    </row>
    <row r="120" spans="3:8" x14ac:dyDescent="0.25">
      <c r="C120" s="2" t="s">
        <v>120</v>
      </c>
      <c r="D120" s="2"/>
      <c r="E120" s="2">
        <f>120*41</f>
        <v>4920</v>
      </c>
      <c r="F120" s="2">
        <f t="shared" si="4"/>
        <v>5904</v>
      </c>
      <c r="G120" s="2">
        <f t="shared" si="5"/>
        <v>9840</v>
      </c>
      <c r="H120" s="2"/>
    </row>
    <row r="121" spans="3:8" x14ac:dyDescent="0.25">
      <c r="C121" s="2" t="s">
        <v>121</v>
      </c>
      <c r="D121" s="2"/>
      <c r="E121" s="2">
        <v>1500</v>
      </c>
      <c r="F121" s="2">
        <f t="shared" si="4"/>
        <v>1800</v>
      </c>
      <c r="G121" s="2">
        <f t="shared" si="5"/>
        <v>3000</v>
      </c>
      <c r="H121" s="2"/>
    </row>
    <row r="122" spans="3:8" x14ac:dyDescent="0.25">
      <c r="C122" s="2" t="s">
        <v>122</v>
      </c>
      <c r="D122" s="2"/>
      <c r="E122" s="2">
        <v>180</v>
      </c>
      <c r="F122" s="2">
        <f t="shared" si="4"/>
        <v>216</v>
      </c>
      <c r="G122" s="2">
        <f t="shared" si="5"/>
        <v>360</v>
      </c>
      <c r="H122" s="2"/>
    </row>
    <row r="123" spans="3:8" x14ac:dyDescent="0.25">
      <c r="C123" s="2" t="s">
        <v>123</v>
      </c>
      <c r="D123" s="2"/>
      <c r="E123" s="2">
        <v>2200</v>
      </c>
      <c r="F123" s="2">
        <f t="shared" si="4"/>
        <v>2640</v>
      </c>
      <c r="G123" s="2">
        <f t="shared" si="5"/>
        <v>4400</v>
      </c>
      <c r="H123" s="2"/>
    </row>
    <row r="124" spans="3:8" x14ac:dyDescent="0.25">
      <c r="C124" s="2" t="s">
        <v>124</v>
      </c>
      <c r="D124" s="2"/>
      <c r="E124" s="2">
        <v>248</v>
      </c>
      <c r="F124" s="2">
        <f t="shared" si="4"/>
        <v>297.59999999999997</v>
      </c>
      <c r="G124" s="2">
        <f t="shared" si="5"/>
        <v>496</v>
      </c>
      <c r="H124" s="2"/>
    </row>
    <row r="125" spans="3:8" x14ac:dyDescent="0.25">
      <c r="C125" s="2" t="s">
        <v>125</v>
      </c>
      <c r="D125" s="2"/>
      <c r="E125" s="2">
        <v>265</v>
      </c>
      <c r="F125" s="2">
        <f t="shared" si="4"/>
        <v>318</v>
      </c>
      <c r="G125" s="2">
        <f t="shared" si="5"/>
        <v>530</v>
      </c>
      <c r="H125" s="2"/>
    </row>
    <row r="126" spans="3:8" x14ac:dyDescent="0.25">
      <c r="C126" s="2" t="s">
        <v>126</v>
      </c>
      <c r="D126" s="2"/>
      <c r="E126" s="2">
        <v>140</v>
      </c>
      <c r="F126" s="2">
        <f t="shared" si="4"/>
        <v>168</v>
      </c>
      <c r="G126" s="2">
        <f t="shared" si="5"/>
        <v>280</v>
      </c>
      <c r="H126" s="2"/>
    </row>
    <row r="127" spans="3:8" x14ac:dyDescent="0.25">
      <c r="C127" s="2" t="s">
        <v>127</v>
      </c>
      <c r="D127" s="2"/>
      <c r="E127" s="2">
        <v>1300</v>
      </c>
      <c r="F127" s="2">
        <f t="shared" si="4"/>
        <v>1560</v>
      </c>
      <c r="G127" s="2">
        <f t="shared" si="5"/>
        <v>2600</v>
      </c>
      <c r="H127" s="2"/>
    </row>
    <row r="128" spans="3:8" x14ac:dyDescent="0.25">
      <c r="C128" s="2" t="s">
        <v>128</v>
      </c>
      <c r="D128" s="2"/>
      <c r="E128" s="2">
        <v>4290</v>
      </c>
      <c r="F128" s="2">
        <f t="shared" si="4"/>
        <v>5148</v>
      </c>
      <c r="G128" s="2">
        <f t="shared" si="5"/>
        <v>8580</v>
      </c>
      <c r="H128" s="2"/>
    </row>
    <row r="129" spans="3:8" x14ac:dyDescent="0.25">
      <c r="C129" s="2" t="s">
        <v>129</v>
      </c>
      <c r="D129" s="2"/>
      <c r="E129" s="2">
        <f>18*41</f>
        <v>738</v>
      </c>
      <c r="F129" s="2">
        <f t="shared" ref="F129:F145" si="6">+E129*1.2</f>
        <v>885.6</v>
      </c>
      <c r="G129" s="2">
        <f t="shared" ref="G129:G145" si="7">+E129*2</f>
        <v>1476</v>
      </c>
      <c r="H129" s="2"/>
    </row>
    <row r="130" spans="3:8" x14ac:dyDescent="0.25">
      <c r="C130" s="2" t="s">
        <v>130</v>
      </c>
      <c r="D130" s="2"/>
      <c r="E130" s="2">
        <v>2500</v>
      </c>
      <c r="F130" s="2">
        <f t="shared" si="6"/>
        <v>3000</v>
      </c>
      <c r="G130" s="2">
        <f t="shared" si="7"/>
        <v>5000</v>
      </c>
      <c r="H130" s="2"/>
    </row>
    <row r="131" spans="3:8" x14ac:dyDescent="0.25">
      <c r="C131" s="2" t="s">
        <v>131</v>
      </c>
      <c r="D131" s="2"/>
      <c r="E131" s="2">
        <v>2500</v>
      </c>
      <c r="F131" s="2">
        <f t="shared" si="6"/>
        <v>3000</v>
      </c>
      <c r="G131" s="2">
        <f t="shared" si="7"/>
        <v>5000</v>
      </c>
      <c r="H131" s="2"/>
    </row>
    <row r="132" spans="3:8" x14ac:dyDescent="0.25">
      <c r="C132" s="2" t="s">
        <v>132</v>
      </c>
      <c r="D132" s="2"/>
      <c r="E132" s="2">
        <f>9*41</f>
        <v>369</v>
      </c>
      <c r="F132" s="2">
        <f t="shared" si="6"/>
        <v>442.8</v>
      </c>
      <c r="G132" s="2">
        <f t="shared" si="7"/>
        <v>738</v>
      </c>
      <c r="H132" s="2"/>
    </row>
    <row r="133" spans="3:8" x14ac:dyDescent="0.25">
      <c r="C133" s="2" t="s">
        <v>133</v>
      </c>
      <c r="D133" s="2"/>
      <c r="E133" s="2">
        <f>9*41</f>
        <v>369</v>
      </c>
      <c r="F133" s="2">
        <f t="shared" si="6"/>
        <v>442.8</v>
      </c>
      <c r="G133" s="2">
        <f t="shared" si="7"/>
        <v>738</v>
      </c>
      <c r="H133" s="2"/>
    </row>
    <row r="134" spans="3:8" x14ac:dyDescent="0.25">
      <c r="C134" s="2" t="s">
        <v>134</v>
      </c>
      <c r="D134" s="2"/>
      <c r="E134" s="2">
        <v>180</v>
      </c>
      <c r="F134" s="2">
        <f t="shared" si="6"/>
        <v>216</v>
      </c>
      <c r="G134" s="2">
        <f t="shared" si="7"/>
        <v>360</v>
      </c>
      <c r="H134" s="2"/>
    </row>
    <row r="135" spans="3:8" x14ac:dyDescent="0.25">
      <c r="C135" s="2" t="s">
        <v>135</v>
      </c>
      <c r="D135" s="2"/>
      <c r="E135" s="2">
        <v>3360</v>
      </c>
      <c r="F135" s="2">
        <f t="shared" si="6"/>
        <v>4032</v>
      </c>
      <c r="G135" s="2">
        <f t="shared" si="7"/>
        <v>6720</v>
      </c>
      <c r="H135" s="2"/>
    </row>
    <row r="136" spans="3:8" x14ac:dyDescent="0.25">
      <c r="C136" s="2" t="s">
        <v>136</v>
      </c>
      <c r="D136" s="2"/>
      <c r="E136" s="2">
        <v>420</v>
      </c>
      <c r="F136" s="2">
        <f t="shared" si="6"/>
        <v>504</v>
      </c>
      <c r="G136" s="2">
        <f t="shared" si="7"/>
        <v>840</v>
      </c>
      <c r="H136" s="2"/>
    </row>
    <row r="137" spans="3:8" x14ac:dyDescent="0.25">
      <c r="C137" s="2" t="s">
        <v>137</v>
      </c>
      <c r="D137" s="2"/>
      <c r="E137" s="2">
        <v>1050</v>
      </c>
      <c r="F137" s="2">
        <f t="shared" si="6"/>
        <v>1260</v>
      </c>
      <c r="G137" s="2">
        <f t="shared" si="7"/>
        <v>2100</v>
      </c>
      <c r="H137" s="2"/>
    </row>
    <row r="138" spans="3:8" x14ac:dyDescent="0.25">
      <c r="C138" s="2" t="s">
        <v>138</v>
      </c>
      <c r="D138" s="2"/>
      <c r="E138" s="2">
        <v>6300</v>
      </c>
      <c r="F138" s="2">
        <f t="shared" si="6"/>
        <v>7560</v>
      </c>
      <c r="G138" s="2">
        <f t="shared" si="7"/>
        <v>12600</v>
      </c>
      <c r="H138" s="2"/>
    </row>
    <row r="139" spans="3:8" x14ac:dyDescent="0.25">
      <c r="C139" s="2" t="s">
        <v>139</v>
      </c>
      <c r="D139" s="2"/>
      <c r="E139" s="2">
        <v>300</v>
      </c>
      <c r="F139" s="2">
        <f t="shared" si="6"/>
        <v>360</v>
      </c>
      <c r="G139" s="2">
        <f t="shared" si="7"/>
        <v>600</v>
      </c>
      <c r="H139" s="2"/>
    </row>
    <row r="140" spans="3:8" x14ac:dyDescent="0.25">
      <c r="C140" s="2" t="s">
        <v>140</v>
      </c>
      <c r="D140" s="2"/>
      <c r="E140" s="2">
        <v>2300</v>
      </c>
      <c r="F140" s="2">
        <f t="shared" si="6"/>
        <v>2760</v>
      </c>
      <c r="G140" s="2">
        <f t="shared" si="7"/>
        <v>4600</v>
      </c>
      <c r="H140" s="2"/>
    </row>
    <row r="141" spans="3:8" x14ac:dyDescent="0.25">
      <c r="C141" s="2" t="s">
        <v>141</v>
      </c>
      <c r="D141" s="2"/>
      <c r="E141" s="2">
        <v>2700</v>
      </c>
      <c r="F141" s="2">
        <f t="shared" si="6"/>
        <v>3240</v>
      </c>
      <c r="G141" s="2">
        <f t="shared" si="7"/>
        <v>5400</v>
      </c>
      <c r="H141" s="2"/>
    </row>
    <row r="142" spans="3:8" x14ac:dyDescent="0.25">
      <c r="C142" s="2" t="s">
        <v>142</v>
      </c>
      <c r="D142" s="2"/>
      <c r="E142" s="2">
        <v>1500</v>
      </c>
      <c r="F142" s="2">
        <f t="shared" si="6"/>
        <v>1800</v>
      </c>
      <c r="G142" s="2">
        <f t="shared" si="7"/>
        <v>3000</v>
      </c>
      <c r="H142" s="2"/>
    </row>
    <row r="143" spans="3:8" x14ac:dyDescent="0.25">
      <c r="C143" s="2" t="s">
        <v>143</v>
      </c>
      <c r="D143" s="2"/>
      <c r="E143" s="2">
        <v>150</v>
      </c>
      <c r="F143" s="2">
        <f t="shared" si="6"/>
        <v>180</v>
      </c>
      <c r="G143" s="2">
        <f t="shared" si="7"/>
        <v>300</v>
      </c>
      <c r="H143" s="2"/>
    </row>
    <row r="144" spans="3:8" x14ac:dyDescent="0.25">
      <c r="C144" s="2" t="s">
        <v>144</v>
      </c>
      <c r="D144" s="2"/>
      <c r="E144" s="2">
        <v>1100</v>
      </c>
      <c r="F144" s="2">
        <f t="shared" si="6"/>
        <v>1320</v>
      </c>
      <c r="G144" s="2">
        <f t="shared" si="7"/>
        <v>2200</v>
      </c>
      <c r="H144" s="2"/>
    </row>
    <row r="145" spans="3:8" x14ac:dyDescent="0.25">
      <c r="C145" s="2" t="s">
        <v>145</v>
      </c>
      <c r="D145" s="2"/>
      <c r="E145" s="2">
        <v>350</v>
      </c>
      <c r="F145" s="2">
        <f t="shared" si="6"/>
        <v>420</v>
      </c>
      <c r="G145" s="2">
        <f t="shared" si="7"/>
        <v>700</v>
      </c>
      <c r="H145" s="2"/>
    </row>
    <row r="146" spans="3:8" x14ac:dyDescent="0.25">
      <c r="C146" s="2" t="s">
        <v>146</v>
      </c>
      <c r="D146" s="2"/>
      <c r="E146" s="2">
        <f>200*41</f>
        <v>8200</v>
      </c>
      <c r="F146" s="2"/>
      <c r="G146" s="2"/>
      <c r="H146" s="2"/>
    </row>
    <row r="147" spans="3:8" x14ac:dyDescent="0.25">
      <c r="C147" s="2"/>
      <c r="D147" s="2"/>
      <c r="E147" s="2"/>
      <c r="F147" s="2"/>
      <c r="G147" s="2"/>
      <c r="H147" s="2"/>
    </row>
    <row r="148" spans="3:8" x14ac:dyDescent="0.25">
      <c r="C148" s="2"/>
      <c r="D148" s="2"/>
      <c r="E148" s="2"/>
      <c r="F148" s="2"/>
      <c r="G148" s="2"/>
      <c r="H148" s="2"/>
    </row>
    <row r="149" spans="3:8" x14ac:dyDescent="0.25">
      <c r="C149" s="2"/>
      <c r="D149" s="2"/>
      <c r="E149" s="2"/>
      <c r="F149" s="2"/>
      <c r="G149" s="2"/>
      <c r="H149" s="2"/>
    </row>
    <row r="150" spans="3:8" x14ac:dyDescent="0.25">
      <c r="C150" s="2"/>
      <c r="D150" s="2"/>
      <c r="E150" s="2"/>
      <c r="F150" s="2"/>
      <c r="G150" s="2"/>
      <c r="H150" s="2"/>
    </row>
    <row r="151" spans="3:8" x14ac:dyDescent="0.25">
      <c r="C151" s="2"/>
      <c r="D151" s="2"/>
      <c r="E151" s="2"/>
      <c r="F151" s="2"/>
      <c r="G151" s="2"/>
      <c r="H151" s="2"/>
    </row>
    <row r="152" spans="3:8" x14ac:dyDescent="0.25">
      <c r="C152" s="2"/>
      <c r="D152" s="2"/>
      <c r="E152" s="2"/>
      <c r="F152" s="2"/>
      <c r="G152" s="2"/>
      <c r="H152" s="2"/>
    </row>
    <row r="153" spans="3:8" x14ac:dyDescent="0.25">
      <c r="C153" s="2"/>
      <c r="D153" s="2"/>
      <c r="E153" s="2"/>
      <c r="F153" s="2"/>
      <c r="G153" s="2"/>
      <c r="H153" s="2"/>
    </row>
    <row r="154" spans="3:8" x14ac:dyDescent="0.25">
      <c r="C154" s="2"/>
      <c r="D154" s="2"/>
      <c r="E154" s="2"/>
      <c r="F154" s="2"/>
      <c r="G154" s="2"/>
      <c r="H154" s="2"/>
    </row>
    <row r="155" spans="3:8" x14ac:dyDescent="0.25">
      <c r="C155" s="2"/>
      <c r="D155" s="2"/>
      <c r="E155" s="2"/>
      <c r="F155" s="2"/>
      <c r="G155" s="2"/>
      <c r="H155" s="2"/>
    </row>
    <row r="156" spans="3:8" x14ac:dyDescent="0.25">
      <c r="C156" s="2"/>
      <c r="D156" s="2"/>
      <c r="E156" s="2"/>
      <c r="F156" s="2"/>
      <c r="G156" s="2"/>
      <c r="H156" s="2"/>
    </row>
    <row r="157" spans="3:8" x14ac:dyDescent="0.25">
      <c r="C157" s="2"/>
      <c r="D157" s="2"/>
      <c r="E157" s="2"/>
      <c r="F157" s="2"/>
      <c r="G157" s="2"/>
      <c r="H157" s="2"/>
    </row>
  </sheetData>
  <pageMargins left="0.70866141732283472" right="0.70866141732283472" top="0.74803149606299213" bottom="0.74803149606299213" header="0.31496062992125984" footer="0.31496062992125984"/>
  <pageSetup paperSize="9" scale="7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2026-04-01T15:55:21Z</cp:lastPrinted>
  <dcterms:created xsi:type="dcterms:W3CDTF">2026-04-01T15:20:27Z</dcterms:created>
  <dcterms:modified xsi:type="dcterms:W3CDTF">2026-04-06T21:27:48Z</dcterms:modified>
</cp:coreProperties>
</file>